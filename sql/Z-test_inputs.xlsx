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t\Downloads\"/>
    </mc:Choice>
  </mc:AlternateContent>
  <xr:revisionPtr revIDLastSave="0" documentId="13_ncr:1_{28BFAC10-2106-4513-AFC1-F86FB972B2A8}" xr6:coauthVersionLast="47" xr6:coauthVersionMax="47" xr10:uidLastSave="{00000000-0000-0000-0000-000000000000}"/>
  <bookViews>
    <workbookView xWindow="-110" yWindow="-110" windowWidth="19420" windowHeight="11500" xr2:uid="{22A241BD-D88C-40CF-B6D5-B83A871980B2}"/>
  </bookViews>
  <sheets>
    <sheet name="README" sheetId="2" r:id="rId1"/>
    <sheet name="Z-Te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8" i="1" l="1"/>
  <c r="H48" i="1"/>
  <c r="G48" i="1"/>
  <c r="G49" i="1" s="1"/>
  <c r="F48" i="1"/>
  <c r="F49" i="1" s="1"/>
  <c r="E48" i="1"/>
  <c r="D48" i="1"/>
  <c r="C48" i="1"/>
  <c r="B48" i="1"/>
  <c r="I47" i="1"/>
  <c r="H47" i="1"/>
  <c r="G47" i="1"/>
  <c r="F47" i="1"/>
  <c r="E47" i="1"/>
  <c r="D47" i="1"/>
  <c r="C47" i="1"/>
  <c r="B47" i="1"/>
  <c r="B49" i="1" s="1"/>
  <c r="I44" i="1"/>
  <c r="I45" i="1" s="1"/>
  <c r="H44" i="1"/>
  <c r="H45" i="1" s="1"/>
  <c r="G44" i="1"/>
  <c r="F44" i="1"/>
  <c r="E44" i="1"/>
  <c r="D44" i="1"/>
  <c r="C44" i="1"/>
  <c r="B44" i="1"/>
  <c r="I43" i="1"/>
  <c r="H43" i="1"/>
  <c r="G43" i="1"/>
  <c r="G45" i="1" s="1"/>
  <c r="F43" i="1"/>
  <c r="F45" i="1" s="1"/>
  <c r="E43" i="1"/>
  <c r="D43" i="1"/>
  <c r="C43" i="1"/>
  <c r="C45" i="1" s="1"/>
  <c r="B43" i="1"/>
  <c r="B45" i="1" l="1"/>
  <c r="B50" i="1" s="1"/>
  <c r="F51" i="1"/>
  <c r="F52" i="1" s="1"/>
  <c r="F53" i="1" s="1"/>
  <c r="F50" i="1"/>
  <c r="C49" i="1"/>
  <c r="C50" i="1" s="1"/>
  <c r="D49" i="1"/>
  <c r="E49" i="1"/>
  <c r="E50" i="1" s="1"/>
  <c r="E45" i="1"/>
  <c r="H49" i="1"/>
  <c r="I49" i="1"/>
  <c r="I50" i="1" s="1"/>
  <c r="G50" i="1"/>
  <c r="G51" i="1"/>
  <c r="G52" i="1" s="1"/>
  <c r="G53" i="1" s="1"/>
  <c r="I51" i="1"/>
  <c r="I52" i="1" s="1"/>
  <c r="I53" i="1" s="1"/>
  <c r="D45" i="1"/>
  <c r="D50" i="1" s="1"/>
  <c r="H51" i="1"/>
  <c r="H52" i="1" s="1"/>
  <c r="H53" i="1" s="1"/>
  <c r="H50" i="1"/>
  <c r="B51" i="1" l="1"/>
  <c r="B52" i="1" s="1"/>
  <c r="B53" i="1" s="1"/>
  <c r="E51" i="1"/>
  <c r="E52" i="1" s="1"/>
  <c r="E53" i="1" s="1"/>
  <c r="C51" i="1"/>
  <c r="C52" i="1" s="1"/>
  <c r="C53" i="1" s="1"/>
  <c r="D51" i="1"/>
  <c r="D52" i="1" s="1"/>
  <c r="D53" i="1" s="1"/>
</calcChain>
</file>

<file path=xl/sharedStrings.xml><?xml version="1.0" encoding="utf-8"?>
<sst xmlns="http://schemas.openxmlformats.org/spreadsheetml/2006/main" count="161" uniqueCount="78">
  <si>
    <t>device_type</t>
  </si>
  <si>
    <t>n</t>
  </si>
  <si>
    <t>x_atc</t>
  </si>
  <si>
    <t>atc_rate</t>
  </si>
  <si>
    <t>ios</t>
  </si>
  <si>
    <t>desktop</t>
  </si>
  <si>
    <t>android</t>
  </si>
  <si>
    <t>tablet</t>
  </si>
  <si>
    <t>traffic_source</t>
  </si>
  <si>
    <t>direct</t>
  </si>
  <si>
    <t>referral</t>
  </si>
  <si>
    <t>email</t>
  </si>
  <si>
    <t>organic</t>
  </si>
  <si>
    <t>paid_search</t>
  </si>
  <si>
    <t>affiliate</t>
  </si>
  <si>
    <t>social</t>
  </si>
  <si>
    <t>channel</t>
  </si>
  <si>
    <t>app</t>
  </si>
  <si>
    <t>mobile</t>
  </si>
  <si>
    <t>web</t>
  </si>
  <si>
    <t>gia_cao</t>
  </si>
  <si>
    <t>gia_trung</t>
  </si>
  <si>
    <t>gia_thap</t>
  </si>
  <si>
    <t>nhom_gia</t>
  </si>
  <si>
    <t>x_convert</t>
  </si>
  <si>
    <t>convert_rate</t>
  </si>
  <si>
    <t>Bảng 1</t>
  </si>
  <si>
    <t>Bảng 2</t>
  </si>
  <si>
    <t>Tham số</t>
  </si>
  <si>
    <t>p₁</t>
  </si>
  <si>
    <t>p₂</t>
  </si>
  <si>
    <t>z</t>
  </si>
  <si>
    <t>p-value</t>
  </si>
  <si>
    <t>n₁</t>
  </si>
  <si>
    <t>x₁</t>
  </si>
  <si>
    <t>n₂</t>
  </si>
  <si>
    <t>x₂</t>
  </si>
  <si>
    <t>Z-Test So Sánh Tỷ Lệ: Gate 1 (ATC Rate) &amp; Gate 2 (Convert Rate)</t>
  </si>
  <si>
    <t>Nhóm 1 (cao)</t>
  </si>
  <si>
    <t>Nhóm 2 (thấp)</t>
  </si>
  <si>
    <t>spread (pp)</t>
  </si>
  <si>
    <t>Kết luận</t>
  </si>
  <si>
    <t>GATE 1</t>
  </si>
  <si>
    <t>GATE 2</t>
  </si>
  <si>
    <t>Gate 1</t>
  </si>
  <si>
    <t>Gate 2</t>
  </si>
  <si>
    <t>Script SQL</t>
  </si>
  <si>
    <t>bảng gốc</t>
  </si>
  <si>
    <t xml:space="preserve">	Output</t>
  </si>
  <si>
    <t>03_gate_ztest_inputs.sql (Gate 1, device_type)</t>
  </si>
  <si>
    <t>03_gate_ztest_inputs.sql (Gate 2, device_type)</t>
  </si>
  <si>
    <t>03_gate_ztest_inputs.sql (Gate 1, traffic_source)</t>
  </si>
  <si>
    <t>03_gate_ztest_inputs.sql (Gate 2, traffic_source)</t>
  </si>
  <si>
    <t>03_gate_ztest_inputs.sql (Gate 1, channel)</t>
  </si>
  <si>
    <t>03_gate_ztest_inputs.sql (Gate 2, channel)</t>
  </si>
  <si>
    <t>03_gate_ztest_inputs.sql (Gate 1, nhom_gia/price_tier)</t>
  </si>
  <si>
    <t>03_gate_ztest_inputs.sql (Gate 2, nhom_gia/price_tier)</t>
  </si>
  <si>
    <t>bang_hanh_vi</t>
  </si>
  <si>
    <t>n, x_atc, atc_rate theo device_type</t>
  </si>
  <si>
    <t>n, x_atc, atc_rate theo traffic_source</t>
  </si>
  <si>
    <t>n, x_atc, atc_rate theo nhom_gia/price_tier</t>
  </si>
  <si>
    <t>n, x_atc, atc_rate theo channel</t>
  </si>
  <si>
    <t>n, x_convert, convert_rate theo device_type</t>
  </si>
  <si>
    <t>n, x_convert, convert_rate theo traffic_source</t>
  </si>
  <si>
    <t>n, x_convert, convert_rate theo channel</t>
  </si>
  <si>
    <t>n, x_convert, convert_rate theo  nhom_gia/price_tier</t>
  </si>
  <si>
    <t>Dán vào Excel</t>
  </si>
  <si>
    <t>Z-test_inputs.xlsx -&gt; Bảng 1, Gate 1</t>
  </si>
  <si>
    <t>Z-test_inputs.xlsx → Bảng 2, Gate 2</t>
  </si>
  <si>
    <r>
      <t>Quy trình tính z-test được thực hiện thủ công: chạy từng khối query trong SQL Server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(03_gate_ztest_inputs.sql)</t>
    </r>
    <r>
      <rPr>
        <i/>
        <sz val="11"/>
        <color theme="1"/>
        <rFont val="Aptos Narrow"/>
        <family val="2"/>
        <scheme val="minor"/>
      </rPr>
      <t xml:space="preserve"> -&gt;</t>
    </r>
    <r>
      <rPr>
        <sz val="11"/>
        <color theme="1"/>
        <rFont val="Aptos Narrow"/>
        <family val="2"/>
        <scheme val="minor"/>
      </rPr>
      <t xml:space="preserve"> dán kết quả trực tiếp vào Excel theo layout đã định dạng -&gt; kết quả hiện thị tại bảng </t>
    </r>
    <r>
      <rPr>
        <b/>
        <i/>
        <sz val="11"/>
        <color theme="1"/>
        <rFont val="Aptos Narrow"/>
        <family val="2"/>
        <scheme val="minor"/>
      </rPr>
      <t>Z-Test So Sánh Tỷ Lệ: Gate 1 (ATC Rate) &amp; Gate 2 (Convert Rate)</t>
    </r>
  </si>
  <si>
    <t>Nguồn: 03_gate_ztest_inputs.sql (Gate 1, device_type)</t>
  </si>
  <si>
    <t>Nguồn: 03_gate_ztest_inputs.sql (Gate 1, traffic_source)</t>
  </si>
  <si>
    <t>Nguồn: 03_gate_ztest_inputs.sql (Gate 2, device_type)</t>
  </si>
  <si>
    <t>Nguồn: 03_gate_ztest_inputs.sql (Gate 1, channel)</t>
  </si>
  <si>
    <t>Nguồn: 03_gate_ztest_inputs.sql (Gate 2, traffic_source)</t>
  </si>
  <si>
    <t>Nguồn: 03_gate_ztest_inputs.sql (Gate 2, channel)</t>
  </si>
  <si>
    <t>Nguồn: 03_gate_ztest_inputs.sql (Gate 1, nhom_gia/price_tier)</t>
  </si>
  <si>
    <t>Nguồn: 03_gate_ztest_inputs.sql (Gate 2, nhom_gia/price_tier)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</si>
</sst>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1" fillId="3" borderId="1" xfId="0" applyNumberFormat="1" applyFont="1" applyFill="1" applyBorder="1"/>
    <xf numFmtId="10" fontId="0" fillId="0" borderId="1" xfId="0" applyNumberFormat="1" applyBorder="1"/>
    <xf numFmtId="2" fontId="1" fillId="3" borderId="1" xfId="0" applyNumberFormat="1" applyFont="1" applyFill="1" applyBorder="1"/>
    <xf numFmtId="2" fontId="1" fillId="6" borderId="1" xfId="0" applyNumberFormat="1" applyFont="1" applyFill="1" applyBorder="1"/>
    <xf numFmtId="0" fontId="1" fillId="7" borderId="1" xfId="0" applyFont="1" applyFill="1" applyBorder="1"/>
    <xf numFmtId="0" fontId="3" fillId="8" borderId="1" xfId="0" applyFont="1" applyFill="1" applyBorder="1" applyAlignment="1">
      <alignment horizontal="center"/>
    </xf>
    <xf numFmtId="0" fontId="2" fillId="0" borderId="0" xfId="0" applyFont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0" xfId="0" applyAlignment="1">
      <alignment horizontal="center"/>
    </xf>
    <xf numFmtId="0" fontId="0" fillId="7" borderId="0" xfId="0" applyFill="1"/>
    <xf numFmtId="0" fontId="0" fillId="9" borderId="0" xfId="0" applyFill="1"/>
    <xf numFmtId="0" fontId="1" fillId="7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759D8A9-3BB5-4A76-822A-62029C13A2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C8F93C4-B52D-42BE-ABD0-F6FB4B8B4F8F}" name="Table9" displayName="Table9" ref="C4:F12" totalsRowShown="0">
  <autoFilter ref="C4:F12" xr:uid="{5C8F93C4-B52D-42BE-ABD0-F6FB4B8B4F8F}"/>
  <tableColumns count="4">
    <tableColumn id="1" xr3:uid="{620F1C19-D1E1-4872-904E-DE05FA67CA75}" name="Script SQL"/>
    <tableColumn id="2" xr3:uid="{6DDE0F06-7DC1-499D-B2D9-3A8CB4420A2D}" name="bảng gốc"/>
    <tableColumn id="3" xr3:uid="{A1A3D56E-5EAD-495E-8D42-D37C239429BD}" name="_x0009_Output"/>
    <tableColumn id="4" xr3:uid="{F65FED81-2337-436E-AEE0-D6107910A87F}" name="Dán vào Excel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DFA69-AB55-443E-814A-59D3527DED10}" name="Table1" displayName="Table1" ref="H13:K20" totalsRowShown="0">
  <autoFilter ref="H13:K20" xr:uid="{BEFDFA69-AB55-443E-814A-59D3527DED10}"/>
  <tableColumns count="4">
    <tableColumn id="1" xr3:uid="{DF0F1163-A5C0-4204-93DA-99D8CC24A52B}" name="traffic_source"/>
    <tableColumn id="2" xr3:uid="{B8FD40E7-8BBA-4F1D-8D99-60BC37D02899}" name="n"/>
    <tableColumn id="3" xr3:uid="{EE0DE2E9-7F47-4100-A4F0-D7132441B5D2}" name="x_convert"/>
    <tableColumn id="4" xr3:uid="{4A8FAC2A-A8D3-4CD1-9F9D-5BAA3C9FF06A}" name="convert_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22DFD7-38FF-4D8C-8D58-9206BAB85527}" name="Table2" displayName="Table2" ref="B4:E8" totalsRowShown="0">
  <autoFilter ref="B4:E8" xr:uid="{E722DFD7-38FF-4D8C-8D58-9206BAB85527}"/>
  <tableColumns count="4">
    <tableColumn id="1" xr3:uid="{624F9C1B-6899-4B6A-98D9-08F7B7446934}" name="device_type"/>
    <tableColumn id="2" xr3:uid="{31EE17D0-7F23-4275-BED1-C09CF0377AF7}" name="n"/>
    <tableColumn id="3" xr3:uid="{2C9DB593-4E28-48F0-9E9A-D5D76804B380}" name="x_atc"/>
    <tableColumn id="4" xr3:uid="{0F0D7C9B-0DE2-4955-BC3D-958B016A9E4D}" name="atc_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CBD838-F457-4D1F-B210-1CAD7B2F56A3}" name="Table3" displayName="Table3" ref="B13:E20" totalsRowShown="0">
  <autoFilter ref="B13:E20" xr:uid="{8FCBD838-F457-4D1F-B210-1CAD7B2F56A3}"/>
  <tableColumns count="4">
    <tableColumn id="1" xr3:uid="{04901AC9-D87F-4D41-B9C3-3E7F68CE11EE}" name="traffic_source"/>
    <tableColumn id="2" xr3:uid="{A6E6C501-16ED-43A6-87BB-CAD505DA839A}" name="n"/>
    <tableColumn id="3" xr3:uid="{270CDF2E-F5C5-4080-88CA-0E83D667F234}" name="x_atc"/>
    <tableColumn id="4" xr3:uid="{3068C893-9565-4D92-9B9B-BB7B3570B0B5}" name="atc_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FF6384-E6C1-4347-A1CE-8FD94EFFD888}" name="Table4" displayName="Table4" ref="H4:K8" totalsRowShown="0">
  <autoFilter ref="H4:K8" xr:uid="{07FF6384-E6C1-4347-A1CE-8FD94EFFD888}"/>
  <tableColumns count="4">
    <tableColumn id="1" xr3:uid="{0D440BDE-A420-4A84-B51F-BC3290BFFA44}" name="device_type"/>
    <tableColumn id="2" xr3:uid="{EA2096A6-1BC7-4EE6-BCD0-F4F0E5961FD0}" name="n"/>
    <tableColumn id="3" xr3:uid="{732F958D-4086-401F-8F15-4D12EB3AAC96}" name="x_convert"/>
    <tableColumn id="4" xr3:uid="{C6AEE586-48F7-45C8-8CD5-3565E4317D66}" name="convert_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BD35F7-F57B-48A6-85AD-883FFEFADA76}" name="Table5" displayName="Table5" ref="B27:E30" totalsRowShown="0">
  <autoFilter ref="B27:E30" xr:uid="{4CBD35F7-F57B-48A6-85AD-883FFEFADA76}"/>
  <tableColumns count="4">
    <tableColumn id="1" xr3:uid="{C9926E32-9D9E-44D6-8379-A1C3DCF705A5}" name="channel"/>
    <tableColumn id="2" xr3:uid="{20EBE01C-4841-48FA-84E0-513E8EDC42A0}" name="n"/>
    <tableColumn id="3" xr3:uid="{2D477ECC-0362-4148-B956-A1B5E3E62C45}" name="x_atc"/>
    <tableColumn id="4" xr3:uid="{8A51864B-3299-4B63-8C79-CAE1059E5E27}" name="atc_r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BEE466-FE03-4118-BA33-5ED5B1572F37}" name="Table6" displayName="Table6" ref="B33:E36" totalsRowShown="0">
  <autoFilter ref="B33:E36" xr:uid="{EDBEE466-FE03-4118-BA33-5ED5B1572F37}"/>
  <tableColumns count="4">
    <tableColumn id="1" xr3:uid="{B5D55F7A-D3CA-4815-9DE2-CFC9DF8561EF}" name="nhom_gia"/>
    <tableColumn id="2" xr3:uid="{E182A738-A3C7-4FBB-AB48-DEA93B24FA43}" name="n"/>
    <tableColumn id="3" xr3:uid="{6BC48577-26C3-4B34-B5BF-B794DE48277E}" name="x_atc"/>
    <tableColumn id="4" xr3:uid="{B1F7E28C-0A69-4CB3-B7F6-F179B7A555D0}" name="atc_r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F12B56-4BFB-413A-AA7C-6E2DB42655D1}" name="Table7" displayName="Table7" ref="H33:K36" totalsRowShown="0">
  <autoFilter ref="H33:K36" xr:uid="{BDF12B56-4BFB-413A-AA7C-6E2DB42655D1}"/>
  <tableColumns count="4">
    <tableColumn id="1" xr3:uid="{5AEAF734-9BBF-4C88-AEFF-D81AFA5D4F83}" name="nhom_gia"/>
    <tableColumn id="2" xr3:uid="{FD40704E-70C3-4DC2-920A-5DA2EAD74787}" name="n"/>
    <tableColumn id="3" xr3:uid="{13866CFD-E2D0-4AE8-9AB6-58B73564F081}" name="x_convert"/>
    <tableColumn id="4" xr3:uid="{006858BB-EDC3-47C6-BAEA-EF31954DBC38}" name="convert_r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085813-5D1B-4660-99FF-B45F111C72BD}" name="Table8" displayName="Table8" ref="H27:K30" totalsRowShown="0">
  <autoFilter ref="H27:K30" xr:uid="{2E085813-5D1B-4660-99FF-B45F111C72BD}"/>
  <tableColumns count="4">
    <tableColumn id="1" xr3:uid="{80BDFD5A-BE21-4047-BE12-AA3C8E7AB72E}" name="channel"/>
    <tableColumn id="2" xr3:uid="{CE33F740-524C-40BF-8B32-705C10A94D9E}" name="n"/>
    <tableColumn id="3" xr3:uid="{7FB4F74A-E75E-473F-9D49-D821878A47D7}" name="x_convert"/>
    <tableColumn id="4" xr3:uid="{0B1DFA2E-600A-430A-927F-DA76E7934A1A}" name="convert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C5F4-1949-449E-A5B6-61D9301F66AC}">
  <dimension ref="A1:G12"/>
  <sheetViews>
    <sheetView tabSelected="1" workbookViewId="0">
      <selection activeCell="C9" sqref="C9"/>
    </sheetView>
  </sheetViews>
  <sheetFormatPr defaultRowHeight="14.5" x14ac:dyDescent="0.35"/>
  <cols>
    <col min="3" max="3" width="45.26953125" bestFit="1" customWidth="1"/>
    <col min="4" max="4" width="11.6328125" bestFit="1" customWidth="1"/>
    <col min="5" max="5" width="43" bestFit="1" customWidth="1"/>
    <col min="6" max="6" width="29.26953125" bestFit="1" customWidth="1"/>
  </cols>
  <sheetData>
    <row r="1" spans="1:7" x14ac:dyDescent="0.35">
      <c r="A1" s="20" t="s">
        <v>69</v>
      </c>
      <c r="B1" s="20"/>
      <c r="C1" s="20"/>
      <c r="D1" s="20"/>
      <c r="E1" s="20"/>
      <c r="F1" s="20"/>
      <c r="G1" s="20"/>
    </row>
    <row r="2" spans="1:7" x14ac:dyDescent="0.35">
      <c r="A2" s="20"/>
      <c r="B2" s="20"/>
      <c r="C2" s="20"/>
      <c r="D2" s="20"/>
      <c r="E2" s="20"/>
      <c r="F2" s="20"/>
      <c r="G2" s="20"/>
    </row>
    <row r="4" spans="1:7" x14ac:dyDescent="0.35">
      <c r="C4" t="s">
        <v>46</v>
      </c>
      <c r="D4" t="s">
        <v>47</v>
      </c>
      <c r="E4" t="s">
        <v>48</v>
      </c>
      <c r="F4" t="s">
        <v>66</v>
      </c>
    </row>
    <row r="5" spans="1:7" x14ac:dyDescent="0.35">
      <c r="C5" t="s">
        <v>49</v>
      </c>
      <c r="D5" t="s">
        <v>57</v>
      </c>
      <c r="E5" t="s">
        <v>58</v>
      </c>
      <c r="F5" t="s">
        <v>67</v>
      </c>
    </row>
    <row r="6" spans="1:7" x14ac:dyDescent="0.35">
      <c r="C6" t="s">
        <v>50</v>
      </c>
      <c r="D6" t="s">
        <v>57</v>
      </c>
      <c r="E6" t="s">
        <v>62</v>
      </c>
      <c r="F6" t="s">
        <v>68</v>
      </c>
    </row>
    <row r="7" spans="1:7" x14ac:dyDescent="0.35">
      <c r="C7" t="s">
        <v>51</v>
      </c>
      <c r="D7" t="s">
        <v>57</v>
      </c>
      <c r="E7" t="s">
        <v>59</v>
      </c>
      <c r="F7" t="s">
        <v>67</v>
      </c>
    </row>
    <row r="8" spans="1:7" x14ac:dyDescent="0.35">
      <c r="C8" t="s">
        <v>52</v>
      </c>
      <c r="D8" t="s">
        <v>57</v>
      </c>
      <c r="E8" t="s">
        <v>63</v>
      </c>
      <c r="F8" t="s">
        <v>68</v>
      </c>
    </row>
    <row r="9" spans="1:7" x14ac:dyDescent="0.35">
      <c r="C9" t="s">
        <v>53</v>
      </c>
      <c r="D9" t="s">
        <v>57</v>
      </c>
      <c r="E9" t="s">
        <v>61</v>
      </c>
      <c r="F9" t="s">
        <v>67</v>
      </c>
    </row>
    <row r="10" spans="1:7" x14ac:dyDescent="0.35">
      <c r="C10" t="s">
        <v>54</v>
      </c>
      <c r="D10" t="s">
        <v>57</v>
      </c>
      <c r="E10" t="s">
        <v>64</v>
      </c>
      <c r="F10" t="s">
        <v>68</v>
      </c>
    </row>
    <row r="11" spans="1:7" x14ac:dyDescent="0.35">
      <c r="C11" t="s">
        <v>55</v>
      </c>
      <c r="D11" t="s">
        <v>57</v>
      </c>
      <c r="E11" t="s">
        <v>60</v>
      </c>
      <c r="F11" t="s">
        <v>67</v>
      </c>
    </row>
    <row r="12" spans="1:7" x14ac:dyDescent="0.35">
      <c r="C12" t="s">
        <v>56</v>
      </c>
      <c r="D12" t="s">
        <v>57</v>
      </c>
      <c r="E12" t="s">
        <v>65</v>
      </c>
      <c r="F12" t="s">
        <v>68</v>
      </c>
    </row>
  </sheetData>
  <mergeCells count="1">
    <mergeCell ref="A1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4F8F-55C1-4E79-8CA2-0922A2D7E08C}">
  <dimension ref="A1:M53"/>
  <sheetViews>
    <sheetView topLeftCell="A10" zoomScale="69" zoomScaleNormal="69" workbookViewId="0">
      <selection activeCell="L40" sqref="L40"/>
    </sheetView>
  </sheetViews>
  <sheetFormatPr defaultRowHeight="14.5" x14ac:dyDescent="0.35"/>
  <cols>
    <col min="1" max="1" width="20" customWidth="1"/>
    <col min="2" max="2" width="23.453125" customWidth="1"/>
    <col min="3" max="3" width="18.90625" customWidth="1"/>
    <col min="4" max="4" width="56.81640625" customWidth="1"/>
    <col min="5" max="9" width="15.453125" customWidth="1"/>
    <col min="10" max="10" width="13.1796875" customWidth="1"/>
    <col min="11" max="11" width="15.453125" customWidth="1"/>
    <col min="12" max="12" width="31.26953125" customWidth="1"/>
    <col min="13" max="13" width="31.81640625" customWidth="1"/>
    <col min="14" max="14" width="65" bestFit="1" customWidth="1"/>
  </cols>
  <sheetData>
    <row r="1" spans="1:13" x14ac:dyDescent="0.35">
      <c r="A1" s="18" t="s">
        <v>42</v>
      </c>
      <c r="B1" s="18"/>
      <c r="C1" s="18"/>
      <c r="D1" s="18"/>
      <c r="E1" s="18"/>
      <c r="G1" s="19" t="s">
        <v>43</v>
      </c>
      <c r="H1" s="19"/>
      <c r="I1" s="19"/>
      <c r="J1" s="19"/>
      <c r="K1" s="19"/>
      <c r="L1" s="19"/>
      <c r="M1" s="19"/>
    </row>
    <row r="4" spans="1:13" x14ac:dyDescent="0.35">
      <c r="A4" s="16" t="s">
        <v>26</v>
      </c>
      <c r="B4" t="s">
        <v>0</v>
      </c>
      <c r="C4" t="s">
        <v>1</v>
      </c>
      <c r="D4" t="s">
        <v>2</v>
      </c>
      <c r="E4" t="s">
        <v>3</v>
      </c>
      <c r="G4" s="17" t="s">
        <v>27</v>
      </c>
      <c r="H4" t="s">
        <v>0</v>
      </c>
      <c r="I4" t="s">
        <v>1</v>
      </c>
      <c r="J4" t="s">
        <v>24</v>
      </c>
      <c r="K4" t="s">
        <v>25</v>
      </c>
    </row>
    <row r="5" spans="1:13" x14ac:dyDescent="0.35">
      <c r="B5" t="s">
        <v>4</v>
      </c>
      <c r="C5">
        <v>4437</v>
      </c>
      <c r="D5">
        <v>2206</v>
      </c>
      <c r="E5">
        <v>0.49718278115844</v>
      </c>
      <c r="H5" t="s">
        <v>6</v>
      </c>
      <c r="I5">
        <v>2271</v>
      </c>
      <c r="J5">
        <v>1137</v>
      </c>
      <c r="K5">
        <v>0.50066050198150602</v>
      </c>
    </row>
    <row r="6" spans="1:13" x14ac:dyDescent="0.35">
      <c r="B6" t="s">
        <v>5</v>
      </c>
      <c r="C6">
        <v>4469</v>
      </c>
      <c r="D6">
        <v>2205</v>
      </c>
      <c r="E6">
        <v>0.49339897068695499</v>
      </c>
      <c r="H6" t="s">
        <v>4</v>
      </c>
      <c r="I6">
        <v>2206</v>
      </c>
      <c r="J6">
        <v>1062</v>
      </c>
      <c r="K6">
        <v>0.48141432456935601</v>
      </c>
    </row>
    <row r="7" spans="1:13" x14ac:dyDescent="0.35">
      <c r="B7" t="s">
        <v>6</v>
      </c>
      <c r="C7">
        <v>4629</v>
      </c>
      <c r="D7">
        <v>2271</v>
      </c>
      <c r="E7">
        <v>0.490602721970188</v>
      </c>
      <c r="H7" t="s">
        <v>5</v>
      </c>
      <c r="I7">
        <v>2205</v>
      </c>
      <c r="J7">
        <v>1024</v>
      </c>
      <c r="K7">
        <v>0.46439909297052201</v>
      </c>
    </row>
    <row r="8" spans="1:13" x14ac:dyDescent="0.35">
      <c r="B8" t="s">
        <v>7</v>
      </c>
      <c r="C8">
        <v>4465</v>
      </c>
      <c r="D8">
        <v>2151</v>
      </c>
      <c r="E8">
        <v>0.481746920492721</v>
      </c>
      <c r="H8" t="s">
        <v>7</v>
      </c>
      <c r="I8">
        <v>2151</v>
      </c>
      <c r="J8">
        <v>980</v>
      </c>
      <c r="K8">
        <v>0.455602045560205</v>
      </c>
    </row>
    <row r="9" spans="1:13" x14ac:dyDescent="0.35">
      <c r="B9" s="21" t="s">
        <v>70</v>
      </c>
      <c r="C9" s="15"/>
      <c r="D9" s="15"/>
      <c r="E9" s="15"/>
      <c r="H9" s="21" t="s">
        <v>72</v>
      </c>
      <c r="I9" s="15"/>
      <c r="J9" s="15"/>
      <c r="K9" s="15"/>
    </row>
    <row r="13" spans="1:13" x14ac:dyDescent="0.35">
      <c r="A13" s="16" t="s">
        <v>26</v>
      </c>
      <c r="B13" t="s">
        <v>8</v>
      </c>
      <c r="C13" t="s">
        <v>1</v>
      </c>
      <c r="D13" t="s">
        <v>2</v>
      </c>
      <c r="E13" t="s">
        <v>3</v>
      </c>
      <c r="G13" s="17" t="s">
        <v>27</v>
      </c>
      <c r="H13" t="s">
        <v>8</v>
      </c>
      <c r="I13" t="s">
        <v>1</v>
      </c>
      <c r="J13" t="s">
        <v>24</v>
      </c>
      <c r="K13" t="s">
        <v>25</v>
      </c>
    </row>
    <row r="14" spans="1:13" x14ac:dyDescent="0.35">
      <c r="B14" t="s">
        <v>9</v>
      </c>
      <c r="C14">
        <v>2659</v>
      </c>
      <c r="D14">
        <v>1347</v>
      </c>
      <c r="E14">
        <v>0.50658142158706299</v>
      </c>
      <c r="H14" t="s">
        <v>9</v>
      </c>
      <c r="I14">
        <v>1347</v>
      </c>
      <c r="J14">
        <v>679</v>
      </c>
      <c r="K14">
        <v>0.50408314773570895</v>
      </c>
    </row>
    <row r="15" spans="1:13" x14ac:dyDescent="0.35">
      <c r="B15" t="s">
        <v>10</v>
      </c>
      <c r="C15">
        <v>2540</v>
      </c>
      <c r="D15">
        <v>1274</v>
      </c>
      <c r="E15">
        <v>0.50157480314960601</v>
      </c>
      <c r="H15" t="s">
        <v>11</v>
      </c>
      <c r="I15">
        <v>1255</v>
      </c>
      <c r="J15">
        <v>626</v>
      </c>
      <c r="K15">
        <v>0.49880478087649399</v>
      </c>
    </row>
    <row r="16" spans="1:13" x14ac:dyDescent="0.35">
      <c r="B16" t="s">
        <v>11</v>
      </c>
      <c r="C16">
        <v>2509</v>
      </c>
      <c r="D16">
        <v>1255</v>
      </c>
      <c r="E16">
        <v>0.50019928258270197</v>
      </c>
      <c r="H16" t="s">
        <v>13</v>
      </c>
      <c r="I16">
        <v>1260</v>
      </c>
      <c r="J16">
        <v>602</v>
      </c>
      <c r="K16">
        <v>0.47777777777777802</v>
      </c>
    </row>
    <row r="17" spans="1:11" x14ac:dyDescent="0.35">
      <c r="B17" t="s">
        <v>12</v>
      </c>
      <c r="C17">
        <v>2655</v>
      </c>
      <c r="D17">
        <v>1313</v>
      </c>
      <c r="E17">
        <v>0.494538606403013</v>
      </c>
      <c r="H17" t="s">
        <v>10</v>
      </c>
      <c r="I17">
        <v>1274</v>
      </c>
      <c r="J17">
        <v>600</v>
      </c>
      <c r="K17">
        <v>0.47095761381475698</v>
      </c>
    </row>
    <row r="18" spans="1:11" x14ac:dyDescent="0.35">
      <c r="B18" t="s">
        <v>13</v>
      </c>
      <c r="C18">
        <v>2594</v>
      </c>
      <c r="D18">
        <v>1260</v>
      </c>
      <c r="E18">
        <v>0.48573631457208899</v>
      </c>
      <c r="H18" t="s">
        <v>15</v>
      </c>
      <c r="I18">
        <v>1180</v>
      </c>
      <c r="J18">
        <v>551</v>
      </c>
      <c r="K18">
        <v>0.46694915254237301</v>
      </c>
    </row>
    <row r="19" spans="1:11" x14ac:dyDescent="0.35">
      <c r="B19" t="s">
        <v>14</v>
      </c>
      <c r="C19">
        <v>2516</v>
      </c>
      <c r="D19">
        <v>1204</v>
      </c>
      <c r="E19">
        <v>0.47853736089030202</v>
      </c>
      <c r="H19" t="s">
        <v>12</v>
      </c>
      <c r="I19">
        <v>1313</v>
      </c>
      <c r="J19">
        <v>601</v>
      </c>
      <c r="K19">
        <v>0.45773038842345798</v>
      </c>
    </row>
    <row r="20" spans="1:11" x14ac:dyDescent="0.35">
      <c r="B20" t="s">
        <v>15</v>
      </c>
      <c r="C20">
        <v>2527</v>
      </c>
      <c r="D20">
        <v>1180</v>
      </c>
      <c r="E20">
        <v>0.466956865848833</v>
      </c>
      <c r="H20" t="s">
        <v>14</v>
      </c>
      <c r="I20">
        <v>1204</v>
      </c>
      <c r="J20">
        <v>544</v>
      </c>
      <c r="K20">
        <v>0.45182724252491702</v>
      </c>
    </row>
    <row r="21" spans="1:11" x14ac:dyDescent="0.35">
      <c r="B21" s="21" t="s">
        <v>71</v>
      </c>
      <c r="C21" s="15"/>
      <c r="D21" s="15"/>
      <c r="E21" s="15"/>
      <c r="H21" s="21" t="s">
        <v>74</v>
      </c>
      <c r="I21" s="15"/>
      <c r="J21" s="15"/>
      <c r="K21" s="15"/>
    </row>
    <row r="27" spans="1:11" x14ac:dyDescent="0.35">
      <c r="A27" s="16" t="s">
        <v>26</v>
      </c>
      <c r="B27" t="s">
        <v>16</v>
      </c>
      <c r="C27" t="s">
        <v>1</v>
      </c>
      <c r="D27" t="s">
        <v>2</v>
      </c>
      <c r="E27" t="s">
        <v>3</v>
      </c>
      <c r="G27" s="17" t="s">
        <v>27</v>
      </c>
      <c r="H27" t="s">
        <v>16</v>
      </c>
      <c r="I27" t="s">
        <v>1</v>
      </c>
      <c r="J27" t="s">
        <v>24</v>
      </c>
      <c r="K27" t="s">
        <v>25</v>
      </c>
    </row>
    <row r="28" spans="1:11" x14ac:dyDescent="0.35">
      <c r="B28" t="s">
        <v>17</v>
      </c>
      <c r="C28">
        <v>5953</v>
      </c>
      <c r="D28">
        <v>3056</v>
      </c>
      <c r="E28">
        <v>0.51335461112044301</v>
      </c>
      <c r="H28" t="s">
        <v>17</v>
      </c>
      <c r="I28">
        <v>3056</v>
      </c>
      <c r="J28">
        <v>1592</v>
      </c>
      <c r="K28">
        <v>0.52094240837696304</v>
      </c>
    </row>
    <row r="29" spans="1:11" x14ac:dyDescent="0.35">
      <c r="B29" t="s">
        <v>18</v>
      </c>
      <c r="C29">
        <v>6040</v>
      </c>
      <c r="D29">
        <v>2929</v>
      </c>
      <c r="E29">
        <v>0.484933774834437</v>
      </c>
      <c r="H29" t="s">
        <v>18</v>
      </c>
      <c r="I29">
        <v>2929</v>
      </c>
      <c r="J29">
        <v>1351</v>
      </c>
      <c r="K29">
        <v>0.461249573233185</v>
      </c>
    </row>
    <row r="30" spans="1:11" x14ac:dyDescent="0.35">
      <c r="B30" t="s">
        <v>19</v>
      </c>
      <c r="C30">
        <v>6007</v>
      </c>
      <c r="D30">
        <v>2848</v>
      </c>
      <c r="E30">
        <v>0.47411353421008801</v>
      </c>
      <c r="H30" t="s">
        <v>19</v>
      </c>
      <c r="I30">
        <v>2848</v>
      </c>
      <c r="J30">
        <v>1260</v>
      </c>
      <c r="K30">
        <v>0.44241573033707898</v>
      </c>
    </row>
    <row r="31" spans="1:11" x14ac:dyDescent="0.35">
      <c r="B31" s="21" t="s">
        <v>73</v>
      </c>
      <c r="C31" s="15"/>
      <c r="D31" s="15"/>
      <c r="E31" s="15"/>
      <c r="H31" s="21" t="s">
        <v>75</v>
      </c>
      <c r="I31" s="15"/>
      <c r="J31" s="15"/>
      <c r="K31" s="15"/>
    </row>
    <row r="33" spans="1:11" x14ac:dyDescent="0.35">
      <c r="A33" s="16" t="s">
        <v>26</v>
      </c>
      <c r="B33" t="s">
        <v>23</v>
      </c>
      <c r="C33" t="s">
        <v>1</v>
      </c>
      <c r="D33" t="s">
        <v>2</v>
      </c>
      <c r="E33" t="s">
        <v>3</v>
      </c>
      <c r="G33" s="17" t="s">
        <v>27</v>
      </c>
      <c r="H33" t="s">
        <v>23</v>
      </c>
      <c r="I33" t="s">
        <v>1</v>
      </c>
      <c r="J33" t="s">
        <v>24</v>
      </c>
      <c r="K33" t="s">
        <v>25</v>
      </c>
    </row>
    <row r="34" spans="1:11" x14ac:dyDescent="0.35">
      <c r="B34" t="s">
        <v>20</v>
      </c>
      <c r="C34">
        <v>5925</v>
      </c>
      <c r="D34">
        <v>3081</v>
      </c>
      <c r="E34">
        <v>0.52</v>
      </c>
      <c r="H34" t="s">
        <v>22</v>
      </c>
      <c r="I34">
        <v>2777</v>
      </c>
      <c r="J34">
        <v>1374</v>
      </c>
      <c r="K34">
        <v>0.49477853799063698</v>
      </c>
    </row>
    <row r="35" spans="1:11" x14ac:dyDescent="0.35">
      <c r="B35" t="s">
        <v>21</v>
      </c>
      <c r="C35">
        <v>6124</v>
      </c>
      <c r="D35">
        <v>2975</v>
      </c>
      <c r="E35">
        <v>0.48579359895493102</v>
      </c>
      <c r="H35" t="s">
        <v>21</v>
      </c>
      <c r="I35">
        <v>2975</v>
      </c>
      <c r="J35">
        <v>1414</v>
      </c>
      <c r="K35">
        <v>0.47529411764705898</v>
      </c>
    </row>
    <row r="36" spans="1:11" x14ac:dyDescent="0.35">
      <c r="B36" t="s">
        <v>22</v>
      </c>
      <c r="C36">
        <v>5951</v>
      </c>
      <c r="D36">
        <v>2777</v>
      </c>
      <c r="E36">
        <v>0.466644261468661</v>
      </c>
      <c r="H36" t="s">
        <v>20</v>
      </c>
      <c r="I36">
        <v>3081</v>
      </c>
      <c r="J36">
        <v>1415</v>
      </c>
      <c r="K36">
        <v>0.45926647192469999</v>
      </c>
    </row>
    <row r="37" spans="1:11" x14ac:dyDescent="0.35">
      <c r="B37" s="21" t="s">
        <v>76</v>
      </c>
      <c r="C37" s="15"/>
      <c r="D37" s="15"/>
      <c r="E37" s="15"/>
      <c r="H37" s="21" t="s">
        <v>77</v>
      </c>
      <c r="I37" s="15"/>
      <c r="J37" s="15"/>
      <c r="K37" s="15"/>
    </row>
    <row r="39" spans="1:11" ht="16" x14ac:dyDescent="0.4">
      <c r="A39" s="10" t="s">
        <v>37</v>
      </c>
      <c r="B39" s="10"/>
      <c r="C39" s="10"/>
      <c r="D39" s="10"/>
      <c r="E39" s="10"/>
      <c r="F39" s="10"/>
      <c r="G39" s="10"/>
      <c r="H39" s="10"/>
      <c r="I39" s="10"/>
    </row>
    <row r="40" spans="1:11" x14ac:dyDescent="0.35">
      <c r="A40" s="2"/>
      <c r="B40" s="11" t="s">
        <v>44</v>
      </c>
      <c r="C40" s="12"/>
      <c r="D40" s="12"/>
      <c r="E40" s="12"/>
      <c r="F40" s="13" t="s">
        <v>45</v>
      </c>
      <c r="G40" s="14"/>
      <c r="H40" s="14"/>
      <c r="I40" s="14"/>
    </row>
    <row r="41" spans="1:11" x14ac:dyDescent="0.35">
      <c r="A41" s="1" t="s">
        <v>28</v>
      </c>
      <c r="B41" s="1" t="s">
        <v>0</v>
      </c>
      <c r="C41" s="1" t="s">
        <v>8</v>
      </c>
      <c r="D41" s="1" t="s">
        <v>23</v>
      </c>
      <c r="E41" s="1" t="s">
        <v>16</v>
      </c>
      <c r="F41" s="1" t="s">
        <v>0</v>
      </c>
      <c r="G41" s="1" t="s">
        <v>8</v>
      </c>
      <c r="H41" s="1" t="s">
        <v>23</v>
      </c>
      <c r="I41" s="1" t="s">
        <v>16</v>
      </c>
    </row>
    <row r="42" spans="1:11" x14ac:dyDescent="0.35">
      <c r="A42" s="8" t="s">
        <v>38</v>
      </c>
      <c r="B42" s="9" t="s">
        <v>4</v>
      </c>
      <c r="C42" s="9" t="s">
        <v>9</v>
      </c>
      <c r="D42" s="9" t="s">
        <v>20</v>
      </c>
      <c r="E42" s="9" t="s">
        <v>17</v>
      </c>
      <c r="F42" s="9" t="s">
        <v>6</v>
      </c>
      <c r="G42" s="9" t="s">
        <v>9</v>
      </c>
      <c r="H42" s="9" t="s">
        <v>22</v>
      </c>
      <c r="I42" s="9" t="s">
        <v>17</v>
      </c>
    </row>
    <row r="43" spans="1:11" x14ac:dyDescent="0.35">
      <c r="A43" s="2" t="s">
        <v>33</v>
      </c>
      <c r="B43" s="2">
        <f>C5</f>
        <v>4437</v>
      </c>
      <c r="C43" s="2">
        <f>C14</f>
        <v>2659</v>
      </c>
      <c r="D43" s="2">
        <f>C34</f>
        <v>5925</v>
      </c>
      <c r="E43" s="2">
        <f>C28</f>
        <v>5953</v>
      </c>
      <c r="F43" s="2">
        <f>I5</f>
        <v>2271</v>
      </c>
      <c r="G43" s="2">
        <f>I14</f>
        <v>1347</v>
      </c>
      <c r="H43" s="2">
        <f>I34</f>
        <v>2777</v>
      </c>
      <c r="I43" s="2">
        <f>I28</f>
        <v>3056</v>
      </c>
    </row>
    <row r="44" spans="1:11" x14ac:dyDescent="0.35">
      <c r="A44" s="2" t="s">
        <v>34</v>
      </c>
      <c r="B44" s="2">
        <f>D5</f>
        <v>2206</v>
      </c>
      <c r="C44" s="2">
        <f>D14</f>
        <v>1347</v>
      </c>
      <c r="D44" s="2">
        <f>D34</f>
        <v>3081</v>
      </c>
      <c r="E44" s="2">
        <f>D28</f>
        <v>3056</v>
      </c>
      <c r="F44" s="2">
        <f>J5</f>
        <v>1137</v>
      </c>
      <c r="G44" s="2">
        <f>J14</f>
        <v>679</v>
      </c>
      <c r="H44" s="2">
        <f>J34</f>
        <v>1374</v>
      </c>
      <c r="I44" s="2">
        <f>J28</f>
        <v>1592</v>
      </c>
    </row>
    <row r="45" spans="1:11" x14ac:dyDescent="0.35">
      <c r="A45" s="2" t="s">
        <v>29</v>
      </c>
      <c r="B45" s="5">
        <f t="shared" ref="B45:I45" si="0">B44/B43</f>
        <v>0.49718278115844039</v>
      </c>
      <c r="C45" s="5">
        <f t="shared" si="0"/>
        <v>0.50658142158706276</v>
      </c>
      <c r="D45" s="5">
        <f t="shared" si="0"/>
        <v>0.52</v>
      </c>
      <c r="E45" s="5">
        <f t="shared" si="0"/>
        <v>0.51335461112044345</v>
      </c>
      <c r="F45" s="5">
        <f t="shared" si="0"/>
        <v>0.50066050198150591</v>
      </c>
      <c r="G45" s="5">
        <f t="shared" si="0"/>
        <v>0.50408314773570895</v>
      </c>
      <c r="H45" s="5">
        <f t="shared" si="0"/>
        <v>0.49477853799063737</v>
      </c>
      <c r="I45" s="5">
        <f t="shared" si="0"/>
        <v>0.52094240837696337</v>
      </c>
    </row>
    <row r="46" spans="1:11" x14ac:dyDescent="0.35">
      <c r="A46" s="8" t="s">
        <v>39</v>
      </c>
      <c r="B46" s="9" t="s">
        <v>7</v>
      </c>
      <c r="C46" s="9" t="s">
        <v>15</v>
      </c>
      <c r="D46" s="9" t="s">
        <v>22</v>
      </c>
      <c r="E46" s="9" t="s">
        <v>19</v>
      </c>
      <c r="F46" s="9" t="s">
        <v>7</v>
      </c>
      <c r="G46" s="9" t="s">
        <v>14</v>
      </c>
      <c r="H46" s="9" t="s">
        <v>20</v>
      </c>
      <c r="I46" s="9" t="s">
        <v>19</v>
      </c>
    </row>
    <row r="47" spans="1:11" x14ac:dyDescent="0.35">
      <c r="A47" s="2" t="s">
        <v>35</v>
      </c>
      <c r="B47" s="2">
        <f>C8</f>
        <v>4465</v>
      </c>
      <c r="C47" s="2">
        <f>C20</f>
        <v>2527</v>
      </c>
      <c r="D47" s="2">
        <f>C36</f>
        <v>5951</v>
      </c>
      <c r="E47" s="2">
        <f>C30</f>
        <v>6007</v>
      </c>
      <c r="F47" s="2">
        <f>I8</f>
        <v>2151</v>
      </c>
      <c r="G47" s="2">
        <f>I20</f>
        <v>1204</v>
      </c>
      <c r="H47" s="2">
        <f>I36</f>
        <v>3081</v>
      </c>
      <c r="I47" s="2">
        <f>I30</f>
        <v>2848</v>
      </c>
    </row>
    <row r="48" spans="1:11" x14ac:dyDescent="0.35">
      <c r="A48" s="2" t="s">
        <v>36</v>
      </c>
      <c r="B48" s="2">
        <f>D8</f>
        <v>2151</v>
      </c>
      <c r="C48" s="2">
        <f>D20</f>
        <v>1180</v>
      </c>
      <c r="D48" s="2">
        <f>D36</f>
        <v>2777</v>
      </c>
      <c r="E48" s="2">
        <f>D30</f>
        <v>2848</v>
      </c>
      <c r="F48" s="2">
        <f>J8</f>
        <v>980</v>
      </c>
      <c r="G48" s="2">
        <f>J20</f>
        <v>544</v>
      </c>
      <c r="H48" s="2">
        <f>J36</f>
        <v>1415</v>
      </c>
      <c r="I48" s="2">
        <f>J30</f>
        <v>1260</v>
      </c>
    </row>
    <row r="49" spans="1:9" x14ac:dyDescent="0.35">
      <c r="A49" s="2" t="s">
        <v>30</v>
      </c>
      <c r="B49" s="5">
        <f t="shared" ref="B49:I49" si="1">B48/B47</f>
        <v>0.48174692049272116</v>
      </c>
      <c r="C49" s="5">
        <f t="shared" si="1"/>
        <v>0.46695686584883261</v>
      </c>
      <c r="D49" s="5">
        <f t="shared" si="1"/>
        <v>0.46664426146866073</v>
      </c>
      <c r="E49" s="5">
        <f t="shared" si="1"/>
        <v>0.47411353421008823</v>
      </c>
      <c r="F49" s="5">
        <f t="shared" si="1"/>
        <v>0.45560204556020456</v>
      </c>
      <c r="G49" s="5">
        <f t="shared" si="1"/>
        <v>0.45182724252491696</v>
      </c>
      <c r="H49" s="5">
        <f t="shared" si="1"/>
        <v>0.45926647192469977</v>
      </c>
      <c r="I49" s="5">
        <f t="shared" si="1"/>
        <v>0.44241573033707865</v>
      </c>
    </row>
    <row r="50" spans="1:9" x14ac:dyDescent="0.35">
      <c r="A50" s="3" t="s">
        <v>40</v>
      </c>
      <c r="B50" s="7">
        <f t="shared" ref="B50:I50" si="2">(B45-B49)*100</f>
        <v>1.5435860665719225</v>
      </c>
      <c r="C50" s="7">
        <f t="shared" si="2"/>
        <v>3.9624555738230152</v>
      </c>
      <c r="D50" s="7">
        <f t="shared" si="2"/>
        <v>5.335573853133929</v>
      </c>
      <c r="E50" s="7">
        <f t="shared" si="2"/>
        <v>3.9241076910355224</v>
      </c>
      <c r="F50" s="7">
        <f t="shared" si="2"/>
        <v>4.5058456421301347</v>
      </c>
      <c r="G50" s="7">
        <f t="shared" si="2"/>
        <v>5.2255905210791989</v>
      </c>
      <c r="H50" s="7">
        <f t="shared" si="2"/>
        <v>3.5512066065937598</v>
      </c>
      <c r="I50" s="7">
        <f t="shared" si="2"/>
        <v>7.8526678039884725</v>
      </c>
    </row>
    <row r="51" spans="1:9" x14ac:dyDescent="0.35">
      <c r="A51" s="3" t="s">
        <v>31</v>
      </c>
      <c r="B51" s="6">
        <f t="shared" ref="B51:I51" si="3">(B45-B49)/SQRT(((B44+B48)/(B43+B47))*(1-(B44+B48)/(B43+B47))*(1/B43+1/B47))</f>
        <v>1.4566974731643387</v>
      </c>
      <c r="C51" s="6">
        <f t="shared" si="3"/>
        <v>2.8535183011339935</v>
      </c>
      <c r="D51" s="6">
        <f t="shared" si="3"/>
        <v>5.8150654501495724</v>
      </c>
      <c r="E51" s="6">
        <f t="shared" si="3"/>
        <v>4.2917770871372181</v>
      </c>
      <c r="F51" s="6">
        <f t="shared" si="3"/>
        <v>2.9979097699319839</v>
      </c>
      <c r="G51" s="6">
        <f t="shared" si="3"/>
        <v>2.6373962227771948</v>
      </c>
      <c r="H51" s="6">
        <f t="shared" si="3"/>
        <v>2.7174509344588289</v>
      </c>
      <c r="I51" s="6">
        <f t="shared" si="3"/>
        <v>6.033510074514103</v>
      </c>
    </row>
    <row r="52" spans="1:9" x14ac:dyDescent="0.35">
      <c r="A52" s="3" t="s">
        <v>32</v>
      </c>
      <c r="B52" s="4">
        <f t="shared" ref="B52:I52" si="4">2*(1-_xlfn.NORM.S.DIST(ABS(B51),TRUE))</f>
        <v>0.14519990760207047</v>
      </c>
      <c r="C52" s="4">
        <f t="shared" si="4"/>
        <v>4.3238037361237325E-3</v>
      </c>
      <c r="D52" s="4">
        <f t="shared" si="4"/>
        <v>6.0610165775187852E-9</v>
      </c>
      <c r="E52" s="4">
        <f t="shared" si="4"/>
        <v>1.7724884078473835E-5</v>
      </c>
      <c r="F52" s="4">
        <f t="shared" si="4"/>
        <v>2.7183814259885697E-3</v>
      </c>
      <c r="G52" s="4">
        <f t="shared" si="4"/>
        <v>8.3545184150644047E-3</v>
      </c>
      <c r="H52" s="4">
        <f t="shared" si="4"/>
        <v>6.578690878073834E-3</v>
      </c>
      <c r="I52" s="4">
        <f t="shared" si="4"/>
        <v>1.6043597561576917E-9</v>
      </c>
    </row>
    <row r="53" spans="1:9" x14ac:dyDescent="0.35">
      <c r="A53" s="3" t="s">
        <v>41</v>
      </c>
      <c r="B53" s="1" t="str">
        <f t="shared" ref="B53:I53" si="5">IF(B52&lt;0.05,"✓ Sig.","✗ Not Sig.")</f>
        <v>✗ Not Sig.</v>
      </c>
      <c r="C53" s="1" t="str">
        <f t="shared" si="5"/>
        <v>✓ Sig.</v>
      </c>
      <c r="D53" s="1" t="str">
        <f t="shared" si="5"/>
        <v>✓ Sig.</v>
      </c>
      <c r="E53" s="1" t="str">
        <f t="shared" si="5"/>
        <v>✓ Sig.</v>
      </c>
      <c r="F53" s="1" t="str">
        <f t="shared" si="5"/>
        <v>✓ Sig.</v>
      </c>
      <c r="G53" s="1" t="str">
        <f t="shared" si="5"/>
        <v>✓ Sig.</v>
      </c>
      <c r="H53" s="1" t="str">
        <f t="shared" si="5"/>
        <v>✓ Sig.</v>
      </c>
      <c r="I53" s="1" t="str">
        <f t="shared" si="5"/>
        <v>✓ Sig.</v>
      </c>
    </row>
  </sheetData>
  <mergeCells count="13">
    <mergeCell ref="A39:I39"/>
    <mergeCell ref="B40:E40"/>
    <mergeCell ref="F40:I40"/>
    <mergeCell ref="A1:E1"/>
    <mergeCell ref="G1:M1"/>
    <mergeCell ref="B9:E9"/>
    <mergeCell ref="H9:K9"/>
    <mergeCell ref="B21:E21"/>
    <mergeCell ref="B37:E37"/>
    <mergeCell ref="H21:K21"/>
    <mergeCell ref="H31:K31"/>
    <mergeCell ref="H37:K37"/>
    <mergeCell ref="B31:E31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Z-Test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Bích Trần Thị Ngọc</dc:creator>
  <cp:lastModifiedBy>Bích Trần Thị Ngọc</cp:lastModifiedBy>
  <dcterms:created xsi:type="dcterms:W3CDTF">2026-06-29T12:34:15Z</dcterms:created>
  <dcterms:modified xsi:type="dcterms:W3CDTF">2026-07-21T08:40:37Z</dcterms:modified>
</cp:coreProperties>
</file>